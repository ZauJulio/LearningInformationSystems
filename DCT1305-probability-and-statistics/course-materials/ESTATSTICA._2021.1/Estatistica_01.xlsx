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<sst xmlns="http://schemas.openxmlformats.org/spreadsheetml/2006/main" count="50" uniqueCount="50">
  <si>
    <t>Classes</t>
  </si>
  <si>
    <t>fi</t>
  </si>
  <si>
    <t>↓Fi</t>
  </si>
  <si>
    <t>↑Fi</t>
  </si>
  <si>
    <t>↑Fr</t>
  </si>
  <si>
    <t>↑Fp</t>
  </si>
  <si>
    <t>fr</t>
  </si>
  <si>
    <t>Pm</t>
  </si>
  <si>
    <t>fr x Pm</t>
  </si>
  <si>
    <t>(Pm-Med)^2 x fi</t>
  </si>
  <si>
    <t>fi x Pm</t>
  </si>
  <si>
    <t>55 Ͱ 60</t>
  </si>
  <si>
    <t>60 Ͱ 65</t>
  </si>
  <si>
    <t>65 Ͱ 70</t>
  </si>
  <si>
    <t>70 Ͱ 75</t>
  </si>
  <si>
    <t>75 Ͱ 80</t>
  </si>
  <si>
    <t>80 Ͱ 85</t>
  </si>
  <si>
    <t>85 Ͱ 90</t>
  </si>
  <si>
    <t>90 Ͱ 95</t>
  </si>
  <si>
    <t>95 Ͱ 100</t>
  </si>
  <si>
    <t>100 Ͱ 105</t>
  </si>
  <si>
    <t>Total</t>
  </si>
  <si>
    <t>Emd =</t>
  </si>
  <si>
    <t>Média =</t>
  </si>
  <si>
    <t>Dq =</t>
  </si>
  <si>
    <t>Mediana =</t>
  </si>
  <si>
    <t>s =</t>
  </si>
  <si>
    <t>K =</t>
  </si>
  <si>
    <t>Mo(P) =</t>
  </si>
  <si>
    <t>e1 =</t>
  </si>
  <si>
    <t>PQ1 =</t>
  </si>
  <si>
    <t>Q1 =</t>
  </si>
  <si>
    <t>PQ3 =</t>
  </si>
  <si>
    <t>Q3 =</t>
  </si>
  <si>
    <t>PP10 =</t>
  </si>
  <si>
    <t>P10 =</t>
  </si>
  <si>
    <t>PP90 =</t>
  </si>
  <si>
    <t>P90 =</t>
  </si>
  <si>
    <t>A)</t>
  </si>
  <si>
    <t>Frequência absoluta simples entre 70 (inclusive) a 95 (exclusive)?</t>
  </si>
  <si>
    <t>B)</t>
  </si>
  <si>
    <t>Frequência absoluta acumulada baixo de 90?</t>
  </si>
  <si>
    <t>C)</t>
  </si>
  <si>
    <t>Frequência percentual acumulada acima de 65 (inclusive)?</t>
  </si>
  <si>
    <t>D)</t>
  </si>
  <si>
    <t>Classifique a Distribuição dada quando à assimetria, utilizando-se do Primeiro Coeficiente de Assimetria de Pearson (e1)</t>
  </si>
  <si>
    <t>Distribuição assimétrica positiva ou desviada à direita</t>
  </si>
  <si>
    <t>E)</t>
  </si>
  <si>
    <t>Classifique a Distribuição dada quando à curtose (obtenha o valor de k com 3 casas decimais).</t>
  </si>
  <si>
    <t>Como k &gt; 0,263, a dist. é placúrtica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</si>
</sst>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"/>
    <numFmt numFmtId="165" formatCode="#,##0.0000000"/>
    <numFmt numFmtId="166" formatCode="#,##0.00000000"/>
    <numFmt numFmtId="167" formatCode="#,##0.000000"/>
    <numFmt numFmtId="168" formatCode="#,##0.0000"/>
    <numFmt numFmtId="169" formatCode="#,##0.000000000000"/>
  </numFmts>
  <fonts count="15">
    <font>
      <sz val="10.0"/>
      <color rgb="FF000000"/>
      <name val="Arial"/>
    </font>
    <font>
      <sz val="10.0"/>
      <color rgb="FF000000"/>
      <name val="Times"/>
    </font>
    <font>
      <name val="Times"/>
    </font>
    <font>
      <color theme="1"/>
      <name val="Times"/>
    </font>
    <font>
      <sz val="10.0"/>
      <name val="Times"/>
    </font>
    <font>
      <b/>
      <sz val="9.0"/>
      <color rgb="FF000000"/>
      <name val="Times"/>
    </font>
    <font>
      <sz val="9.0"/>
      <color rgb="FF000000"/>
      <name val="Times"/>
    </font>
    <font>
      <sz val="9.0"/>
      <name val="Times"/>
    </font>
    <font>
      <b/>
      <sz val="9.0"/>
      <color rgb="FF002060"/>
      <name val="Times"/>
    </font>
    <font>
      <sz val="9.0"/>
      <color theme="1"/>
      <name val="Arial"/>
    </font>
    <font>
      <b/>
      <sz val="9.0"/>
      <name val="Times"/>
    </font>
    <font>
      <sz val="8.0"/>
      <color rgb="FF000000"/>
      <name val="Times"/>
    </font>
    <font>
      <sz val="8.0"/>
      <name val="Times"/>
    </font>
    <font>
      <sz val="12.0"/>
      <name val="Times"/>
    </font>
    <font>
      <sz val="10.0"/>
      <color theme="1"/>
      <name val="Times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00FF00"/>
        <bgColor rgb="FF00FF00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1" fillId="0" fontId="1" numFmtId="2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0" fillId="0" fontId="2" numFmtId="0" xfId="0" applyFont="1"/>
    <xf borderId="0" fillId="0" fontId="3" numFmtId="0" xfId="0" applyFont="1"/>
    <xf borderId="2" fillId="0" fontId="1" numFmtId="0" xfId="0" applyAlignment="1" applyBorder="1" applyFont="1">
      <alignment horizontal="right" readingOrder="0" vertical="bottom"/>
    </xf>
    <xf borderId="2" fillId="0" fontId="1" numFmtId="164" xfId="0" applyAlignment="1" applyBorder="1" applyFont="1" applyNumberFormat="1">
      <alignment horizontal="right" readingOrder="0" vertical="bottom"/>
    </xf>
    <xf borderId="2" fillId="0" fontId="1" numFmtId="165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horizontal="right" readingOrder="0" vertical="bottom"/>
    </xf>
    <xf borderId="2" fillId="2" fontId="1" numFmtId="0" xfId="0" applyAlignment="1" applyBorder="1" applyFill="1" applyFont="1">
      <alignment horizontal="right" readingOrder="0" vertical="bottom"/>
    </xf>
    <xf borderId="1" fillId="2" fontId="1" numFmtId="2" xfId="0" applyAlignment="1" applyBorder="1" applyFont="1" applyNumberForma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4" numFmtId="0" xfId="0" applyFont="1"/>
    <xf borderId="0" fillId="0" fontId="1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left" vertical="bottom"/>
    </xf>
    <xf borderId="0" fillId="0" fontId="6" numFmtId="166" xfId="0" applyAlignment="1" applyFont="1" applyNumberForma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left" readingOrder="0" vertical="bottom"/>
    </xf>
    <xf borderId="0" fillId="0" fontId="6" numFmtId="167" xfId="0" applyAlignment="1" applyFont="1" applyNumberFormat="1">
      <alignment horizontal="left" readingOrder="0" vertical="bottom"/>
    </xf>
    <xf borderId="0" fillId="4" fontId="6" numFmtId="0" xfId="0" applyAlignment="1" applyFill="1" applyFont="1">
      <alignment horizontal="right" readingOrder="0" vertical="bottom"/>
    </xf>
    <xf borderId="0" fillId="0" fontId="6" numFmtId="168" xfId="0" applyAlignment="1" applyFont="1" applyNumberFormat="1">
      <alignment horizontal="lef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7" numFmtId="0" xfId="0" applyFont="1"/>
    <xf borderId="0" fillId="0" fontId="6" numFmtId="169" xfId="0" applyAlignment="1" applyFont="1" applyNumberFormat="1">
      <alignment horizontal="right" readingOrder="0" vertical="bottom"/>
    </xf>
    <xf borderId="0" fillId="0" fontId="8" numFmtId="169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left" readingOrder="0" vertical="bottom"/>
    </xf>
    <xf borderId="0" fillId="0" fontId="9" numFmtId="0" xfId="0" applyFont="1"/>
    <xf borderId="0" fillId="0" fontId="10" numFmtId="0" xfId="0" applyAlignment="1" applyFont="1">
      <alignment horizontal="left" vertical="bottom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/>
    </xf>
    <xf borderId="0" fillId="5" fontId="3" numFmtId="0" xfId="0" applyFill="1" applyFont="1"/>
    <xf borderId="0" fillId="0" fontId="13" numFmtId="0" xfId="0" applyAlignment="1" applyFont="1">
      <alignment horizontal="left"/>
    </xf>
    <xf borderId="0" fillId="5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5" fontId="1" numFmtId="9" xfId="0" applyAlignment="1" applyFont="1" applyNumberFormat="1">
      <alignment horizontal="right" readingOrder="0" vertical="bottom"/>
    </xf>
    <xf borderId="0" fillId="5" fontId="14" numFmtId="169" xfId="0" applyAlignment="1" applyFont="1" applyNumberFormat="1">
      <alignment horizontal="right" readingOrder="0" vertical="bottom"/>
    </xf>
    <xf borderId="0" fillId="5" fontId="3" numFmtId="0" xfId="0" applyAlignment="1" applyFont="1">
      <alignment readingOrder="0"/>
    </xf>
    <xf borderId="0" fillId="5" fontId="2" numFmtId="0" xfId="0" applyFont="1"/>
    <xf borderId="0" fillId="5" fontId="11" numFmtId="3" xfId="0" applyAlignment="1" applyFont="1" applyNumberFormat="1">
      <alignment horizontal="right" readingOrder="0" vertical="bottom"/>
    </xf>
    <xf borderId="0" fillId="5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'Página1'!$B$2:$B$11</c:f>
              <c:numCache/>
            </c:numRef>
          </c:val>
          <c:smooth val="0"/>
        </c:ser>
        <c:axId val="633982711"/>
        <c:axId val="1510516971"/>
      </c:lineChart>
      <c:catAx>
        <c:axId val="633982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516971"/>
      </c:catAx>
      <c:valAx>
        <c:axId val="1510516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982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180975</xdr:colOff>
      <xdr:row>0</xdr:row>
      <xdr:rowOff>0</xdr:rowOff>
    </xdr:from>
    <xdr:ext cx="3771900" cy="2324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11.43"/>
    <col customWidth="1" min="2" max="2" width="8.29"/>
    <col customWidth="1" min="3" max="3" width="7.86"/>
    <col customWidth="1" min="4" max="4" width="8.57"/>
    <col customWidth="1" min="5" max="5" width="10.0"/>
    <col customWidth="1" min="6" max="6" width="10.14"/>
    <col customWidth="1" min="7" max="7" width="10.29"/>
    <col customWidth="1" min="8" max="8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" t="s">
        <v>11</v>
      </c>
      <c r="B2" s="2">
        <v>10.0</v>
      </c>
      <c r="C2" s="7">
        <v>10.0</v>
      </c>
      <c r="D2" s="7">
        <v>300.0</v>
      </c>
      <c r="E2" s="3">
        <f t="shared" ref="E2:E12" si="1">D2/$B$12</f>
        <v>1</v>
      </c>
      <c r="F2" s="3">
        <f t="shared" ref="F2:F12" si="2">E2*100</f>
        <v>100</v>
      </c>
      <c r="G2" s="3">
        <f t="shared" ref="G2:G11" si="3">B2/$B$12</f>
        <v>0.03333333333</v>
      </c>
      <c r="H2" s="7">
        <v>57.5</v>
      </c>
      <c r="I2" s="8">
        <f t="shared" ref="I2:I11" si="4">G2*H2</f>
        <v>1.916666667</v>
      </c>
      <c r="J2" s="9">
        <f t="shared" ref="J2:J11" si="5">((H2-$I$12)^2)*B2</f>
        <v>3546.944444</v>
      </c>
      <c r="K2" s="10">
        <f t="shared" ref="K2:K11" si="6">B2*H2</f>
        <v>575</v>
      </c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" t="s">
        <v>12</v>
      </c>
      <c r="B3" s="2">
        <v>35.0</v>
      </c>
      <c r="C3" s="7">
        <v>45.0</v>
      </c>
      <c r="D3" s="7">
        <f t="shared" ref="D3:D12" si="7">$B$12-C3</f>
        <v>255</v>
      </c>
      <c r="E3" s="3">
        <f t="shared" si="1"/>
        <v>0.85</v>
      </c>
      <c r="F3" s="3">
        <f t="shared" si="2"/>
        <v>85</v>
      </c>
      <c r="G3" s="3">
        <f t="shared" si="3"/>
        <v>0.1166666667</v>
      </c>
      <c r="H3" s="7">
        <v>62.5</v>
      </c>
      <c r="I3" s="8">
        <f t="shared" si="4"/>
        <v>7.291666667</v>
      </c>
      <c r="J3" s="9">
        <f t="shared" si="5"/>
        <v>6697.638889</v>
      </c>
      <c r="K3" s="10">
        <f t="shared" si="6"/>
        <v>2187.5</v>
      </c>
      <c r="L3" s="5"/>
      <c r="M3" s="5"/>
      <c r="N3" s="5"/>
      <c r="O3" s="5"/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" t="s">
        <v>13</v>
      </c>
      <c r="B4" s="2">
        <v>45.0</v>
      </c>
      <c r="C4" s="7">
        <v>90.0</v>
      </c>
      <c r="D4" s="11">
        <f t="shared" si="7"/>
        <v>210</v>
      </c>
      <c r="E4" s="12">
        <f t="shared" si="1"/>
        <v>0.7</v>
      </c>
      <c r="F4" s="12">
        <f t="shared" si="2"/>
        <v>70</v>
      </c>
      <c r="G4" s="3">
        <f t="shared" si="3"/>
        <v>0.15</v>
      </c>
      <c r="H4" s="7">
        <v>67.5</v>
      </c>
      <c r="I4" s="8">
        <f t="shared" si="4"/>
        <v>10.125</v>
      </c>
      <c r="J4" s="9">
        <f t="shared" si="5"/>
        <v>3511.25</v>
      </c>
      <c r="K4" s="10">
        <f t="shared" si="6"/>
        <v>3037.5</v>
      </c>
      <c r="L4" s="5"/>
      <c r="M4" s="5"/>
      <c r="N4" s="5"/>
      <c r="O4" s="5"/>
      <c r="P4" s="5"/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3" t="s">
        <v>14</v>
      </c>
      <c r="B5" s="14">
        <v>60.0</v>
      </c>
      <c r="C5" s="7">
        <v>150.0</v>
      </c>
      <c r="D5" s="7">
        <f t="shared" si="7"/>
        <v>150</v>
      </c>
      <c r="E5" s="3">
        <f t="shared" si="1"/>
        <v>0.5</v>
      </c>
      <c r="F5" s="3">
        <f t="shared" si="2"/>
        <v>50</v>
      </c>
      <c r="G5" s="3">
        <f t="shared" si="3"/>
        <v>0.2</v>
      </c>
      <c r="H5" s="7">
        <v>72.5</v>
      </c>
      <c r="I5" s="8">
        <f t="shared" si="4"/>
        <v>14.5</v>
      </c>
      <c r="J5" s="9">
        <f t="shared" si="5"/>
        <v>881.6666667</v>
      </c>
      <c r="K5" s="10">
        <f t="shared" si="6"/>
        <v>4350</v>
      </c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3" t="s">
        <v>15</v>
      </c>
      <c r="B6" s="14">
        <v>45.0</v>
      </c>
      <c r="C6" s="7">
        <v>195.0</v>
      </c>
      <c r="D6" s="7">
        <f t="shared" si="7"/>
        <v>105</v>
      </c>
      <c r="E6" s="3">
        <f t="shared" si="1"/>
        <v>0.35</v>
      </c>
      <c r="F6" s="3">
        <f t="shared" si="2"/>
        <v>35</v>
      </c>
      <c r="G6" s="3">
        <f t="shared" si="3"/>
        <v>0.15</v>
      </c>
      <c r="H6" s="7">
        <v>77.5</v>
      </c>
      <c r="I6" s="8">
        <f t="shared" si="4"/>
        <v>11.625</v>
      </c>
      <c r="J6" s="9">
        <f t="shared" si="5"/>
        <v>61.25</v>
      </c>
      <c r="K6" s="10">
        <f t="shared" si="6"/>
        <v>3487.5</v>
      </c>
      <c r="L6" s="15"/>
      <c r="M6" s="16"/>
      <c r="N6" s="16"/>
      <c r="O6" s="17"/>
      <c r="P6" s="17"/>
      <c r="Q6" s="17"/>
      <c r="R6" s="17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3" t="s">
        <v>16</v>
      </c>
      <c r="B7" s="14">
        <v>40.0</v>
      </c>
      <c r="C7" s="7">
        <v>235.0</v>
      </c>
      <c r="D7" s="7">
        <f t="shared" si="7"/>
        <v>65</v>
      </c>
      <c r="E7" s="3">
        <f t="shared" si="1"/>
        <v>0.2166666667</v>
      </c>
      <c r="F7" s="3">
        <f t="shared" si="2"/>
        <v>21.66666667</v>
      </c>
      <c r="G7" s="3">
        <f t="shared" si="3"/>
        <v>0.1333333333</v>
      </c>
      <c r="H7" s="7">
        <v>82.5</v>
      </c>
      <c r="I7" s="8">
        <f t="shared" si="4"/>
        <v>11</v>
      </c>
      <c r="J7" s="9">
        <f t="shared" si="5"/>
        <v>1521.111111</v>
      </c>
      <c r="K7" s="10">
        <f t="shared" si="6"/>
        <v>3300</v>
      </c>
      <c r="L7" s="1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3" t="s">
        <v>17</v>
      </c>
      <c r="B8" s="14">
        <v>30.0</v>
      </c>
      <c r="C8" s="11">
        <v>265.0</v>
      </c>
      <c r="D8" s="7">
        <f t="shared" si="7"/>
        <v>35</v>
      </c>
      <c r="E8" s="3">
        <f t="shared" si="1"/>
        <v>0.1166666667</v>
      </c>
      <c r="F8" s="3">
        <f t="shared" si="2"/>
        <v>11.66666667</v>
      </c>
      <c r="G8" s="3">
        <f t="shared" si="3"/>
        <v>0.1</v>
      </c>
      <c r="H8" s="7">
        <v>87.5</v>
      </c>
      <c r="I8" s="8">
        <f t="shared" si="4"/>
        <v>8.75</v>
      </c>
      <c r="J8" s="9">
        <f t="shared" si="5"/>
        <v>3740.833333</v>
      </c>
      <c r="K8" s="10">
        <f t="shared" si="6"/>
        <v>2625</v>
      </c>
      <c r="L8" s="16"/>
      <c r="M8" s="16"/>
      <c r="N8" s="16"/>
      <c r="O8" s="17"/>
      <c r="P8" s="17"/>
      <c r="Q8" s="17"/>
      <c r="R8" s="17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3" t="s">
        <v>18</v>
      </c>
      <c r="B9" s="14">
        <v>20.0</v>
      </c>
      <c r="C9" s="7">
        <v>285.0</v>
      </c>
      <c r="D9" s="7">
        <f t="shared" si="7"/>
        <v>15</v>
      </c>
      <c r="E9" s="3">
        <f t="shared" si="1"/>
        <v>0.05</v>
      </c>
      <c r="F9" s="3">
        <f t="shared" si="2"/>
        <v>5</v>
      </c>
      <c r="G9" s="3">
        <f t="shared" si="3"/>
        <v>0.06666666667</v>
      </c>
      <c r="H9" s="7">
        <v>92.5</v>
      </c>
      <c r="I9" s="8">
        <f t="shared" si="4"/>
        <v>6.166666667</v>
      </c>
      <c r="J9" s="9">
        <f t="shared" si="5"/>
        <v>5227.222222</v>
      </c>
      <c r="K9" s="10">
        <f t="shared" si="6"/>
        <v>1850</v>
      </c>
      <c r="L9" s="16"/>
      <c r="M9" s="16"/>
      <c r="N9" s="16"/>
      <c r="O9" s="17"/>
      <c r="P9" s="17"/>
      <c r="Q9" s="17"/>
      <c r="R9" s="17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" t="s">
        <v>19</v>
      </c>
      <c r="B10" s="2">
        <v>10.0</v>
      </c>
      <c r="C10" s="7">
        <v>295.0</v>
      </c>
      <c r="D10" s="7">
        <f t="shared" si="7"/>
        <v>5</v>
      </c>
      <c r="E10" s="3">
        <f t="shared" si="1"/>
        <v>0.01666666667</v>
      </c>
      <c r="F10" s="3">
        <f t="shared" si="2"/>
        <v>1.666666667</v>
      </c>
      <c r="G10" s="3">
        <f t="shared" si="3"/>
        <v>0.03333333333</v>
      </c>
      <c r="H10" s="7">
        <v>97.5</v>
      </c>
      <c r="I10" s="8">
        <f t="shared" si="4"/>
        <v>3.25</v>
      </c>
      <c r="J10" s="9">
        <f t="shared" si="5"/>
        <v>4480.277778</v>
      </c>
      <c r="K10" s="10">
        <f t="shared" si="6"/>
        <v>975</v>
      </c>
      <c r="L10" s="16"/>
      <c r="M10" s="16"/>
      <c r="N10" s="16"/>
      <c r="O10" s="17"/>
      <c r="P10" s="17"/>
      <c r="Q10" s="17"/>
      <c r="R10" s="17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" t="s">
        <v>20</v>
      </c>
      <c r="B11" s="2">
        <v>5.0</v>
      </c>
      <c r="C11" s="7">
        <v>300.0</v>
      </c>
      <c r="D11" s="7">
        <f t="shared" si="7"/>
        <v>0</v>
      </c>
      <c r="E11" s="3">
        <f t="shared" si="1"/>
        <v>0</v>
      </c>
      <c r="F11" s="3">
        <f t="shared" si="2"/>
        <v>0</v>
      </c>
      <c r="G11" s="3">
        <f t="shared" si="3"/>
        <v>0.01666666667</v>
      </c>
      <c r="H11" s="7">
        <v>102.5</v>
      </c>
      <c r="I11" s="8">
        <f t="shared" si="4"/>
        <v>1.708333333</v>
      </c>
      <c r="J11" s="9">
        <f t="shared" si="5"/>
        <v>3423.472222</v>
      </c>
      <c r="K11" s="10">
        <f t="shared" si="6"/>
        <v>512.5</v>
      </c>
      <c r="L11" s="16"/>
      <c r="M11" s="16"/>
      <c r="N11" s="16"/>
      <c r="O11" s="17"/>
      <c r="P11" s="17"/>
      <c r="Q11" s="17"/>
      <c r="R11" s="17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1" t="s">
        <v>21</v>
      </c>
      <c r="B12" s="2">
        <v>300.0</v>
      </c>
      <c r="C12" s="19"/>
      <c r="D12" s="7">
        <f t="shared" si="7"/>
        <v>300</v>
      </c>
      <c r="E12" s="3">
        <f t="shared" si="1"/>
        <v>1</v>
      </c>
      <c r="F12" s="3">
        <f t="shared" si="2"/>
        <v>100</v>
      </c>
      <c r="G12" s="3">
        <f>SUM(G2:G11)</f>
        <v>1</v>
      </c>
      <c r="H12" s="19"/>
      <c r="I12" s="8">
        <f>SUM(I2:I11)</f>
        <v>76.33333333</v>
      </c>
      <c r="J12" s="9">
        <f>SUM(J1:J11)</f>
        <v>33091.66667</v>
      </c>
      <c r="K12" s="10">
        <f>SUM(K2:K11)</f>
        <v>22900</v>
      </c>
      <c r="L12" s="16"/>
      <c r="M12" s="16"/>
      <c r="N12" s="16"/>
      <c r="O12" s="17"/>
      <c r="P12" s="17"/>
      <c r="Q12" s="17"/>
      <c r="R12" s="17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5"/>
      <c r="B13" s="15"/>
      <c r="C13" s="16"/>
      <c r="D13" s="16"/>
      <c r="E13" s="15"/>
      <c r="F13" s="15"/>
      <c r="G13" s="15"/>
      <c r="H13" s="16"/>
      <c r="I13" s="16"/>
      <c r="J13" s="16"/>
      <c r="K13" s="20"/>
      <c r="L13" s="21"/>
      <c r="M13" s="16"/>
      <c r="N13" s="16"/>
      <c r="O13" s="17"/>
      <c r="P13" s="17"/>
      <c r="Q13" s="17"/>
      <c r="R13" s="17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2" t="s">
        <v>22</v>
      </c>
      <c r="B14" s="23">
        <f>B12/2</f>
        <v>150</v>
      </c>
      <c r="C14" s="24"/>
      <c r="D14" s="22" t="s">
        <v>23</v>
      </c>
      <c r="E14" s="25">
        <f>K12/B12</f>
        <v>76.33333333</v>
      </c>
      <c r="F14" s="26"/>
      <c r="G14" s="27" t="s">
        <v>24</v>
      </c>
      <c r="H14" s="28">
        <f>(E19-E18)/2</f>
        <v>7.708333333</v>
      </c>
      <c r="I14" s="16"/>
      <c r="L14" s="16"/>
      <c r="M14" s="16"/>
      <c r="N14" s="16"/>
      <c r="O14" s="17"/>
      <c r="P14" s="17"/>
      <c r="Q14" s="17"/>
      <c r="R14" s="17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2" t="s">
        <v>25</v>
      </c>
      <c r="B15" s="29">
        <f>70+((B14-C4)/B5)*5</f>
        <v>75</v>
      </c>
      <c r="C15" s="24"/>
      <c r="D15" s="22" t="s">
        <v>26</v>
      </c>
      <c r="E15" s="25">
        <f>SQRT((J12/299))</f>
        <v>10.52019346</v>
      </c>
      <c r="F15" s="24"/>
      <c r="G15" s="27" t="s">
        <v>27</v>
      </c>
      <c r="H15" s="30">
        <f>H14/(E22-E21)</f>
        <v>0.2714884696</v>
      </c>
      <c r="I15" s="6"/>
      <c r="L15" s="16"/>
      <c r="O15" s="17"/>
      <c r="P15" s="17"/>
      <c r="Q15" s="17"/>
      <c r="R15" s="17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2" t="s">
        <v>28</v>
      </c>
      <c r="B16" s="31">
        <f>3*B15-2*I12</f>
        <v>72.33333333</v>
      </c>
      <c r="C16" s="32"/>
      <c r="D16" s="22" t="s">
        <v>29</v>
      </c>
      <c r="E16" s="33">
        <f>(I12-B16)/E15</f>
        <v>0.3802211447</v>
      </c>
      <c r="F16" s="32"/>
      <c r="G16" s="32"/>
      <c r="H16" s="32"/>
      <c r="I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2"/>
      <c r="B17" s="31"/>
      <c r="C17" s="32"/>
      <c r="D17" s="22"/>
      <c r="E17" s="34"/>
      <c r="F17" s="32"/>
      <c r="G17" s="32"/>
      <c r="H17" s="32"/>
      <c r="I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2" t="s">
        <v>30</v>
      </c>
      <c r="B18" s="27">
        <f>B12/4</f>
        <v>75</v>
      </c>
      <c r="C18" s="24"/>
      <c r="D18" s="22" t="s">
        <v>31</v>
      </c>
      <c r="E18" s="35">
        <f>65+((B18-C3)/B4)*5</f>
        <v>68.33333333</v>
      </c>
      <c r="F18" s="24"/>
      <c r="G18" s="36"/>
      <c r="H18" s="36"/>
      <c r="I18" s="6"/>
      <c r="J18" s="6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2" t="s">
        <v>32</v>
      </c>
      <c r="B19" s="27">
        <f>3*B12/4</f>
        <v>225</v>
      </c>
      <c r="C19" s="24"/>
      <c r="D19" s="22" t="s">
        <v>33</v>
      </c>
      <c r="E19" s="27">
        <f>80+((B19-C6)/B7)*5</f>
        <v>83.75</v>
      </c>
      <c r="F19" s="24"/>
      <c r="G19" s="24"/>
      <c r="H19" s="24"/>
      <c r="I19" s="6"/>
      <c r="J19" s="6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37"/>
      <c r="B20" s="24"/>
      <c r="C20" s="24"/>
      <c r="D20" s="37"/>
      <c r="E20" s="24"/>
      <c r="F20" s="24"/>
      <c r="G20" s="24"/>
      <c r="H20" s="24"/>
      <c r="I20" s="6"/>
      <c r="J20" s="6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2" t="s">
        <v>34</v>
      </c>
      <c r="B21" s="27">
        <f>10*B12/100</f>
        <v>30</v>
      </c>
      <c r="C21" s="24"/>
      <c r="D21" s="22" t="s">
        <v>35</v>
      </c>
      <c r="E21" s="35">
        <f>60+((B21-C2)/B3)*5</f>
        <v>62.85714286</v>
      </c>
      <c r="F21" s="24"/>
      <c r="G21" s="36"/>
      <c r="H21" s="36"/>
      <c r="I21" s="6"/>
      <c r="J21" s="6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2" t="s">
        <v>36</v>
      </c>
      <c r="B22" s="27">
        <f>90*B12/100</f>
        <v>270</v>
      </c>
      <c r="C22" s="24"/>
      <c r="D22" s="22" t="s">
        <v>37</v>
      </c>
      <c r="E22" s="27">
        <f>90+((B22-C8)/B9)*5</f>
        <v>91.25</v>
      </c>
      <c r="F22" s="24"/>
      <c r="G22" s="24"/>
      <c r="H22" s="24"/>
      <c r="I22" s="6"/>
      <c r="J22" s="6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38"/>
      <c r="B23" s="38"/>
      <c r="C23" s="39"/>
      <c r="D23" s="40"/>
      <c r="E23" s="41"/>
      <c r="F23" s="39"/>
      <c r="G23" s="39"/>
      <c r="H23" s="39"/>
      <c r="I23" s="6"/>
      <c r="J23" s="6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42" t="s">
        <v>38</v>
      </c>
      <c r="B24" s="42" t="s">
        <v>39</v>
      </c>
      <c r="C24" s="5"/>
      <c r="D24" s="5"/>
      <c r="E24" s="5"/>
      <c r="F24" s="5"/>
      <c r="I24" s="43">
        <f>SUM(B5:B9)</f>
        <v>195</v>
      </c>
      <c r="J24" s="5"/>
      <c r="K24" s="5"/>
      <c r="L24" s="5"/>
      <c r="M24" s="5"/>
      <c r="N24" s="5"/>
      <c r="O24" s="5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44"/>
      <c r="B25" s="4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42" t="s">
        <v>40</v>
      </c>
      <c r="B26" s="42" t="s">
        <v>41</v>
      </c>
      <c r="C26" s="5"/>
      <c r="D26" s="5"/>
      <c r="E26" s="5"/>
      <c r="G26" s="45">
        <v>265.0</v>
      </c>
      <c r="H26" s="5"/>
      <c r="I26" s="5"/>
      <c r="J26" s="46"/>
      <c r="K26" s="5"/>
      <c r="L26" s="5"/>
      <c r="M26" s="5"/>
      <c r="N26" s="5"/>
      <c r="O26" s="5"/>
      <c r="P26" s="5"/>
      <c r="Q26" s="5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44"/>
      <c r="B27" s="4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42" t="s">
        <v>42</v>
      </c>
      <c r="B28" s="42" t="s">
        <v>43</v>
      </c>
      <c r="C28" s="5"/>
      <c r="D28" s="5"/>
      <c r="E28" s="5"/>
      <c r="F28" s="5"/>
      <c r="G28" s="5"/>
      <c r="H28" s="47">
        <v>0.85</v>
      </c>
      <c r="J28" s="5"/>
      <c r="K28" s="5"/>
      <c r="L28" s="5"/>
      <c r="M28" s="5"/>
      <c r="N28" s="5"/>
      <c r="O28" s="5"/>
      <c r="P28" s="5"/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44"/>
      <c r="B29" s="4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42" t="s">
        <v>44</v>
      </c>
      <c r="B30" s="42" t="s">
        <v>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48">
        <v>0.380221144679974</v>
      </c>
      <c r="N30" s="49" t="s">
        <v>46</v>
      </c>
      <c r="O30" s="50"/>
      <c r="P30" s="50"/>
      <c r="Q30" s="5"/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44"/>
      <c r="B31" s="4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42" t="s">
        <v>47</v>
      </c>
      <c r="B32" s="42" t="s">
        <v>48</v>
      </c>
      <c r="C32" s="5"/>
      <c r="D32" s="5"/>
      <c r="E32" s="5"/>
      <c r="F32" s="5"/>
      <c r="G32" s="5"/>
      <c r="H32" s="5"/>
      <c r="I32" s="5"/>
      <c r="J32" s="5"/>
      <c r="K32" s="51">
        <v>271.0</v>
      </c>
      <c r="L32" s="52" t="s">
        <v>49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44"/>
      <c r="B33" s="6"/>
      <c r="C33" s="6"/>
      <c r="D33" s="6"/>
      <c r="E33" s="6"/>
      <c r="F33" s="6"/>
      <c r="G33" s="6"/>
      <c r="H33" s="6"/>
      <c r="I33" s="6"/>
      <c r="J33" s="6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4"/>
      <c r="B34" s="6"/>
      <c r="C34" s="6"/>
      <c r="D34" s="6"/>
      <c r="E34" s="6"/>
      <c r="F34" s="6"/>
      <c r="G34" s="6"/>
      <c r="H34" s="6"/>
      <c r="I34" s="6"/>
      <c r="J34" s="6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5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5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5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5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5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5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</sheetData>
  <mergeCells count="2">
    <mergeCell ref="L7:R7"/>
    <mergeCell ref="L32:R3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